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ukes\Desktop\Excel assignments\"/>
    </mc:Choice>
  </mc:AlternateContent>
  <xr:revisionPtr revIDLastSave="0" documentId="13_ncr:1_{5846FBBF-8A31-4BD8-BC61-9D15D22809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M10" i="1" l="1" a="1"/>
  <c r="M10" i="1" s="1"/>
  <c r="J10" i="1" a="1"/>
  <c r="J10" i="1" s="1"/>
  <c r="N10" i="1" a="1"/>
  <c r="N10" i="1" s="1"/>
  <c r="L10" i="1" a="1"/>
  <c r="L10" i="1" s="1"/>
  <c r="K10" i="1" a="1"/>
  <c r="K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<sst xmlns="http://schemas.openxmlformats.org/spreadsheetml/2006/main" count="243" uniqueCount="102">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</sst>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2" workbookViewId="0">
      <selection activeCell="M11" sqref="M11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3.5546875" customWidth="1"/>
    <col min="11" max="11" width="13.77734375" customWidth="1"/>
    <col min="12" max="12" width="13.21875" customWidth="1"/>
    <col min="13" max="13" width="12.6640625" customWidth="1"/>
    <col min="14" max="14" width="21.44140625" customWidth="1"/>
    <col min="15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 cm="1">
        <f t="array" ref="J10:J47">IF($E$10:$E$47=$E$12,IF($H$10:$H$47&lt;50000,"Eligible for Gift","Not Eligible"),"Male")</f>
        <v>Male</v>
      </c>
      <c r="K10" s="11" t="str" cm="1">
        <f t="array" ref="K10:K47">IF(G10:$G$47=$G$17,IF($H$10:$H$47&lt;30000,"9000 as Bonus","No"),"Not a CCD")</f>
        <v>Not a CCD</v>
      </c>
      <c r="L10" s="4" t="str" cm="1">
        <f t="array" ref="L10:L47">IF(YEAR($D$10:$D$47)&lt;1980,"Retired","Active")</f>
        <v>Retired</v>
      </c>
      <c r="M10" s="11" t="str" cm="1">
        <f t="array" ref="M10:M47">IF($G$10:$G$47="Sales",IF($H$10:$H$47&lt;45000,"25000 Bonus","0"),IF($G$10:$G$47="Marketing",IF($H$10:$H$47&lt;45000,"25000 Bonus","0"),"0"))</f>
        <v>0</v>
      </c>
      <c r="N10" s="11" t="str" cm="1">
        <f t="array" ref="N10:N47">IF($G$10:$G$47="CEO","0",IF($G$10:$G$47="Director","0","1500 rs Amazon Voucher"))</f>
        <v>1500 rs Amazon Voucher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v>Male</v>
      </c>
      <c r="K11" s="11" t="str">
        <v>Not a CCD</v>
      </c>
      <c r="L11" s="11" t="str">
        <v>Retired</v>
      </c>
      <c r="M11" s="11" t="str">
        <v>25000 Bonus</v>
      </c>
      <c r="N11" s="11" t="str">
        <v>1500 rs Amazon Voucher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v>Eligible for Gift</v>
      </c>
      <c r="K12" s="11" t="str">
        <v>Not a CCD</v>
      </c>
      <c r="L12" s="11" t="str">
        <v>Retired</v>
      </c>
      <c r="M12" s="11" t="str">
        <v>0</v>
      </c>
      <c r="N12" s="11" t="str">
        <v>1500 rs Amazon Voucher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v>Not Eligible</v>
      </c>
      <c r="K13" s="11" t="str">
        <v>Not a CCD</v>
      </c>
      <c r="L13" s="11" t="str">
        <v>Retired</v>
      </c>
      <c r="M13" s="11" t="str">
        <v>0</v>
      </c>
      <c r="N13" s="11" t="str">
        <v>1500 rs Amazon Voucher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v>Not Eligible</v>
      </c>
      <c r="K14" s="11" t="str">
        <v>Not a CCD</v>
      </c>
      <c r="L14" s="11" t="str">
        <v>Retired</v>
      </c>
      <c r="M14" s="11" t="str">
        <v>0</v>
      </c>
      <c r="N14" s="11" t="str">
        <v>1500 rs Amazon Voucher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v>Male</v>
      </c>
      <c r="K15" s="11" t="str">
        <v>Not a CCD</v>
      </c>
      <c r="L15" s="11" t="str">
        <v>Retired</v>
      </c>
      <c r="M15" s="11" t="str">
        <v>0</v>
      </c>
      <c r="N15" s="11" t="str">
        <v>0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v>Male</v>
      </c>
      <c r="K16" s="11" t="str">
        <v>Not a CCD</v>
      </c>
      <c r="L16" s="11" t="str">
        <v>Retired</v>
      </c>
      <c r="M16" s="11" t="str">
        <v>0</v>
      </c>
      <c r="N16" s="11" t="str">
        <v>1500 rs Amazon Voucher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v>Male</v>
      </c>
      <c r="K17" s="11" t="str">
        <v>9000 as Bonus</v>
      </c>
      <c r="L17" s="11" t="str">
        <v>Active</v>
      </c>
      <c r="M17" s="11" t="str">
        <v>0</v>
      </c>
      <c r="N17" s="11" t="str">
        <v>1500 rs Amazon Voucher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v>Not Eligible</v>
      </c>
      <c r="K18" s="11" t="str">
        <v>Not a CCD</v>
      </c>
      <c r="L18" s="11" t="str">
        <v>Retired</v>
      </c>
      <c r="M18" s="11" t="str">
        <v>0</v>
      </c>
      <c r="N18" s="11" t="str">
        <v>1500 rs Amazon Voucher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v>Eligible for Gift</v>
      </c>
      <c r="K19" s="11" t="str">
        <v>Not a CCD</v>
      </c>
      <c r="L19" s="11" t="str">
        <v>Active</v>
      </c>
      <c r="M19" s="11" t="str">
        <v>0</v>
      </c>
      <c r="N19" s="11" t="str">
        <v>1500 rs Amazon Voucher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v>Eligible for Gift</v>
      </c>
      <c r="K20" s="11" t="str">
        <v>Not a CCD</v>
      </c>
      <c r="L20" s="11" t="str">
        <v>Retired</v>
      </c>
      <c r="M20" s="11" t="str">
        <v>0</v>
      </c>
      <c r="N20" s="11" t="str">
        <v>1500 rs Amazon Voucher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v>Male</v>
      </c>
      <c r="K21" s="11" t="str">
        <v>No</v>
      </c>
      <c r="L21" s="11" t="str">
        <v>Active</v>
      </c>
      <c r="M21" s="11" t="str">
        <v>0</v>
      </c>
      <c r="N21" s="11" t="str">
        <v>1500 rs Amazon Voucher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v>Male</v>
      </c>
      <c r="K22" s="11" t="str">
        <v>Not a CCD</v>
      </c>
      <c r="L22" s="11" t="str">
        <v>Active</v>
      </c>
      <c r="M22" s="11" t="str">
        <v>0</v>
      </c>
      <c r="N22" s="11" t="str">
        <v>1500 rs Amazon Voucher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v>Male</v>
      </c>
      <c r="K23" s="11" t="str">
        <v>No</v>
      </c>
      <c r="L23" s="11" t="str">
        <v>Active</v>
      </c>
      <c r="M23" s="11" t="str">
        <v>0</v>
      </c>
      <c r="N23" s="11" t="str">
        <v>1500 rs Amazon Voucher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v>Not Eligible</v>
      </c>
      <c r="K24" s="11" t="str">
        <v>Not a CCD</v>
      </c>
      <c r="L24" s="11" t="str">
        <v>Active</v>
      </c>
      <c r="M24" s="11" t="str">
        <v>0</v>
      </c>
      <c r="N24" s="11" t="str">
        <v>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v>Eligible for Gift</v>
      </c>
      <c r="K25" s="11" t="str">
        <v>Not a CCD</v>
      </c>
      <c r="L25" s="11" t="str">
        <v>Retired</v>
      </c>
      <c r="M25" s="11" t="str">
        <v>0</v>
      </c>
      <c r="N25" s="11" t="str">
        <v>1500 rs Amazon Voucher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v>Eligible for Gift</v>
      </c>
      <c r="K26" s="11" t="str">
        <v>Not a CCD</v>
      </c>
      <c r="L26" s="11" t="str">
        <v>Active</v>
      </c>
      <c r="M26" s="11" t="str">
        <v>25000 Bonus</v>
      </c>
      <c r="N26" s="11" t="str">
        <v>1500 rs Amazon Voucher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v>Male</v>
      </c>
      <c r="K27" s="11" t="str">
        <v>Not a CCD</v>
      </c>
      <c r="L27" s="11" t="str">
        <v>Active</v>
      </c>
      <c r="M27" s="11" t="str">
        <v>0</v>
      </c>
      <c r="N27" s="11" t="str">
        <v>1500 rs Amazon Voucher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v>Male</v>
      </c>
      <c r="K28" s="11" t="str">
        <v>Not a CCD</v>
      </c>
      <c r="L28" s="11" t="str">
        <v>Active</v>
      </c>
      <c r="M28" s="11" t="str">
        <v>0</v>
      </c>
      <c r="N28" s="11" t="str">
        <v>1500 rs Amazon Voucher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v>Male</v>
      </c>
      <c r="K29" s="11" t="str">
        <v>Not a CCD</v>
      </c>
      <c r="L29" s="11" t="str">
        <v>Active</v>
      </c>
      <c r="M29" s="11" t="str">
        <v>0</v>
      </c>
      <c r="N29" s="11" t="str">
        <v>1500 rs Amazon Voucher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v>Male</v>
      </c>
      <c r="K30" s="11" t="str">
        <v>No</v>
      </c>
      <c r="L30" s="11" t="str">
        <v>Active</v>
      </c>
      <c r="M30" s="11" t="str">
        <v>0</v>
      </c>
      <c r="N30" s="11" t="str">
        <v>1500 rs Amazon Voucher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v>Not Eligible</v>
      </c>
      <c r="K31" s="11" t="str">
        <v>Not a CCD</v>
      </c>
      <c r="L31" s="11" t="str">
        <v>Active</v>
      </c>
      <c r="M31" s="11" t="str">
        <v>0</v>
      </c>
      <c r="N31" s="11" t="str">
        <v>1500 rs Amazon Voucher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v>Not Eligible</v>
      </c>
      <c r="K32" s="11" t="str">
        <v>Not a CCD</v>
      </c>
      <c r="L32" s="11" t="str">
        <v>Active</v>
      </c>
      <c r="M32" s="11" t="str">
        <v>0</v>
      </c>
      <c r="N32" s="11" t="str">
        <v>1500 rs Amazon Voucher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v>Not Eligible</v>
      </c>
      <c r="K33" s="11" t="str">
        <v>Not a CCD</v>
      </c>
      <c r="L33" s="11" t="str">
        <v>Active</v>
      </c>
      <c r="M33" s="11" t="str">
        <v>0</v>
      </c>
      <c r="N33" s="11" t="str">
        <v>1500 rs Amazon Voucher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v>Male</v>
      </c>
      <c r="K34" s="11" t="str">
        <v>Not a CCD</v>
      </c>
      <c r="L34" s="11" t="str">
        <v>Active</v>
      </c>
      <c r="M34" s="11" t="str">
        <v>0</v>
      </c>
      <c r="N34" s="11" t="str">
        <v>1500 rs Amazon Voucher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v>Male</v>
      </c>
      <c r="K35" s="11" t="str">
        <v>Not a CCD</v>
      </c>
      <c r="L35" s="11" t="str">
        <v>Retired</v>
      </c>
      <c r="M35" s="11" t="str">
        <v>0</v>
      </c>
      <c r="N35" s="11" t="str">
        <v>1500 rs Amazon Voucher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v>Male</v>
      </c>
      <c r="K36" s="11" t="str">
        <v>Not a CCD</v>
      </c>
      <c r="L36" s="11" t="str">
        <v>Active</v>
      </c>
      <c r="M36" s="11" t="str">
        <v>0</v>
      </c>
      <c r="N36" s="11" t="str">
        <v>1500 rs Amazon Voucher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v>Male</v>
      </c>
      <c r="K37" s="11" t="str">
        <v>Not a CCD</v>
      </c>
      <c r="L37" s="11" t="str">
        <v>Retired</v>
      </c>
      <c r="M37" s="11" t="str">
        <v>0</v>
      </c>
      <c r="N37" s="11" t="str">
        <v>1500 rs Amazon Voucher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v>Male</v>
      </c>
      <c r="K38" s="11" t="str">
        <v>Not a CCD</v>
      </c>
      <c r="L38" s="11" t="str">
        <v>Retired</v>
      </c>
      <c r="M38" s="11" t="str">
        <v>0</v>
      </c>
      <c r="N38" s="11" t="str">
        <v>1500 rs Amazon Voucher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v>Not Eligible</v>
      </c>
      <c r="K39" s="11" t="str">
        <v>No</v>
      </c>
      <c r="L39" s="11" t="str">
        <v>Active</v>
      </c>
      <c r="M39" s="11" t="str">
        <v>0</v>
      </c>
      <c r="N39" s="11" t="str">
        <v>1500 rs Amazon Voucher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v>Not Eligible</v>
      </c>
      <c r="K40" s="11" t="str">
        <v>Not a CCD</v>
      </c>
      <c r="L40" s="11" t="str">
        <v>Active</v>
      </c>
      <c r="M40" s="11" t="str">
        <v>0</v>
      </c>
      <c r="N40" s="11" t="str">
        <v>1500 rs Amazon Voucher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v>Not Eligible</v>
      </c>
      <c r="K41" s="11" t="str">
        <v>Not a CCD</v>
      </c>
      <c r="L41" s="11" t="str">
        <v>Active</v>
      </c>
      <c r="M41" s="11" t="str">
        <v>0</v>
      </c>
      <c r="N41" s="11" t="str">
        <v>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v>Male</v>
      </c>
      <c r="K42" s="11" t="str">
        <v>Not a CCD</v>
      </c>
      <c r="L42" s="11" t="str">
        <v>Active</v>
      </c>
      <c r="M42" s="11" t="str">
        <v>0</v>
      </c>
      <c r="N42" s="11" t="str">
        <v>1500 rs Amazon Voucher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v>Male</v>
      </c>
      <c r="K43" s="11" t="str">
        <v>Not a CCD</v>
      </c>
      <c r="L43" s="11" t="str">
        <v>Active</v>
      </c>
      <c r="M43" s="11" t="str">
        <v>0</v>
      </c>
      <c r="N43" s="11" t="str">
        <v>1500 rs Amazon Voucher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v>Male</v>
      </c>
      <c r="K44" s="11" t="str">
        <v>Not a CCD</v>
      </c>
      <c r="L44" s="11" t="str">
        <v>Active</v>
      </c>
      <c r="M44" s="11" t="str">
        <v>0</v>
      </c>
      <c r="N44" s="11" t="str">
        <v>1500 rs Amazon Voucher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v>Male</v>
      </c>
      <c r="K45" s="11" t="str">
        <v>Not a CCD</v>
      </c>
      <c r="L45" s="11" t="str">
        <v>Active</v>
      </c>
      <c r="M45" s="11" t="str">
        <v>0</v>
      </c>
      <c r="N45" s="11" t="str">
        <v>1500 rs Amazon Voucher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v>Male</v>
      </c>
      <c r="K46" s="11" t="str">
        <v>Not a CCD</v>
      </c>
      <c r="L46" s="11" t="str">
        <v>Active</v>
      </c>
      <c r="M46" s="11" t="str">
        <v>0</v>
      </c>
      <c r="N46" s="11" t="str">
        <v>1500 rs Amazon Voucher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v>Male</v>
      </c>
      <c r="K47" s="11" t="str">
        <v>Not a CCD</v>
      </c>
      <c r="L47" s="11" t="str">
        <v>Active</v>
      </c>
      <c r="M47" s="11" t="str">
        <v>0</v>
      </c>
      <c r="N47" s="11" t="str">
        <v>1500 rs Amazon Voucher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Vasa Naga Lakshmi Durgambika</cp:lastModifiedBy>
  <dcterms:created xsi:type="dcterms:W3CDTF">2020-05-11T11:02:27Z</dcterms:created>
  <dcterms:modified xsi:type="dcterms:W3CDTF">2025-10-05T03:05:39Z</dcterms:modified>
</cp:coreProperties>
</file>